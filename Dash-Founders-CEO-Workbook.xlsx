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Lens scores" sheetId="2" r:id="rId2"/>
    <sheet name="By family" sheetId="3" r:id="rId3"/>
    <sheet name="Register" sheetId="4" r:id="rId4"/>
    <sheet name="CEO actions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Founders · CEO summary</t>
        </is>
      </c>
    </row>
    <row r="2">
      <c r="A2" t="inlineStr" s="9">
        <is>
          <t xml:space="preserve">25 lenses read the same books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Lenses</t>
        </is>
      </c>
      <c r="B5" s="10">
        <f>COUNTA('Lens scores'!A5:A29)</f>
      </c>
      <c r="C5" t="inlineStr" s="0">
        <is>
          <t xml:space="preserve">Principle-named</t>
        </is>
      </c>
    </row>
    <row r="6">
      <c r="A6" t="inlineStr" s="0">
        <is>
          <t xml:space="preserve">Council average</t>
        </is>
      </c>
      <c r="B6" s="3">
        <f>AVERAGE('Lens scores'!B5:B29)</f>
      </c>
      <c r="C6" t="inlineStr" s="0">
        <is>
          <t xml:space="preserve">All lenses</t>
        </is>
      </c>
    </row>
    <row r="7">
      <c r="A7" t="inlineStr" s="0">
        <is>
          <t xml:space="preserve">On track</t>
        </is>
      </c>
      <c r="B7" s="10">
        <f>COUNTIF('Lens scores'!C5:C29,"On track")</f>
      </c>
    </row>
    <row r="8">
      <c r="A8" t="inlineStr" s="0">
        <is>
          <t xml:space="preserve">Watch</t>
        </is>
      </c>
      <c r="B8" s="10">
        <f>COUNTIF('Lens scores'!C5:C29,"Watch")</f>
      </c>
    </row>
    <row r="9">
      <c r="A9" t="inlineStr" s="0">
        <is>
          <t xml:space="preserve">At risk</t>
        </is>
      </c>
      <c r="B9" s="10">
        <f>COUNTIF('Lens scores'!C5:C29,"At risk")</f>
      </c>
    </row>
    <row r="10">
      <c r="A10" t="inlineStr" s="0">
        <is>
          <t xml:space="preserve">Binding constraint</t>
        </is>
      </c>
      <c r="B10" t="inlineStr" s="11">
        <is>
          <t xml:space="preserve">Platform leverage</t>
        </is>
      </c>
      <c r="C10" t="inlineStr" s="0">
        <is>
          <t xml:space="preserve">The first retainer unlocks the most lenses</t>
        </is>
      </c>
    </row>
    <row r="11">
      <c r="A11" t="inlineStr" s="0">
        <is>
          <t xml:space="preserve">Superintelligence skill sets live</t>
        </is>
      </c>
      <c r="B11" s="0">
        <v>92</v>
      </c>
      <c r="C11" t="inlineStr" s="0">
        <is>
          <t xml:space="preserve">Of 92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2" customWidth="1"/>
    <col min="3" max="3" width="12" customWidth="1"/>
    <col min="4" max="4" width="16" customWidth="1"/>
  </cols>
  <sheetData>
    <row r="1">
      <c r="A1" t="inlineStr" s="4">
        <is>
          <t xml:space="preserve">Lens scores</t>
        </is>
      </c>
    </row>
    <row r="2">
      <c r="A2" t="inlineStr" s="9">
        <is>
          <t xml:space="preserve">Colored by status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Family</t>
        </is>
      </c>
    </row>
    <row r="5">
      <c r="A5" t="inlineStr" s="0">
        <is>
          <t xml:space="preserve">Super</t>
        </is>
      </c>
      <c r="B5" s="3">
        <v>0.5</v>
      </c>
      <c r="C5" t="inlineStr" s="7">
        <is>
          <t xml:space="preserve">At risk</t>
        </is>
      </c>
      <c r="D5" t="inlineStr" s="0">
        <is>
          <t xml:space="preserve">Tech &amp; AI</t>
        </is>
      </c>
    </row>
    <row r="6">
      <c r="A6" t="inlineStr" s="0">
        <is>
          <t xml:space="preserve">Capital</t>
        </is>
      </c>
      <c r="B6" s="3">
        <v>0.27</v>
      </c>
      <c r="C6" t="inlineStr" s="7">
        <is>
          <t xml:space="preserve">At risk</t>
        </is>
      </c>
      <c r="D6" t="inlineStr" s="0">
        <is>
          <t xml:space="preserve">Capital &amp; cash</t>
        </is>
      </c>
    </row>
    <row r="7">
      <c r="A7" t="inlineStr" s="0">
        <is>
          <t xml:space="preserve">Council</t>
        </is>
      </c>
      <c r="B7" s="3">
        <v>0</v>
      </c>
      <c r="C7" t="inlineStr" s="7">
        <is>
          <t xml:space="preserve">At risk</t>
        </is>
      </c>
      <c r="D7" t="inlineStr" s="0">
        <is>
          <t xml:space="preserve">Operators</t>
        </is>
      </c>
    </row>
    <row r="8">
      <c r="A8" t="inlineStr" s="0">
        <is>
          <t xml:space="preserve">Mindset</t>
        </is>
      </c>
      <c r="B8" s="3">
        <v>0.5</v>
      </c>
      <c r="C8" t="inlineStr" s="6">
        <is>
          <t xml:space="preserve">Watch</t>
        </is>
      </c>
      <c r="D8" t="inlineStr" s="0">
        <is>
          <t xml:space="preserve">Tech &amp; AI</t>
        </is>
      </c>
    </row>
    <row r="9">
      <c r="A9" t="inlineStr" s="0">
        <is>
          <t xml:space="preserve">Velocity</t>
        </is>
      </c>
      <c r="B9" s="3">
        <v>0.04</v>
      </c>
      <c r="C9" t="inlineStr" s="7">
        <is>
          <t xml:space="preserve">At risk</t>
        </is>
      </c>
      <c r="D9" t="inlineStr" s="0">
        <is>
          <t xml:space="preserve">Tech &amp; AI</t>
        </is>
      </c>
    </row>
    <row r="10">
      <c r="A10" t="inlineStr" s="0">
        <is>
          <t xml:space="preserve">Platform</t>
        </is>
      </c>
      <c r="B10" s="3">
        <v>0</v>
      </c>
      <c r="C10" t="inlineStr" s="6">
        <is>
          <t xml:space="preserve">Watch</t>
        </is>
      </c>
      <c r="D10" t="inlineStr" s="0">
        <is>
          <t xml:space="preserve">Tech &amp; AI</t>
        </is>
      </c>
    </row>
    <row r="11">
      <c r="A11" t="inlineStr" s="0">
        <is>
          <t xml:space="preserve">Truth</t>
        </is>
      </c>
      <c r="B11" s="3">
        <v>1</v>
      </c>
      <c r="C11" t="inlineStr" s="5">
        <is>
          <t xml:space="preserve">On track</t>
        </is>
      </c>
      <c r="D11" t="inlineStr" s="0">
        <is>
          <t xml:space="preserve">Tech &amp; AI</t>
        </is>
      </c>
    </row>
    <row r="12">
      <c r="A12" t="inlineStr" s="0">
        <is>
          <t xml:space="preserve">Distribution</t>
        </is>
      </c>
      <c r="B12" s="3">
        <v>0.33</v>
      </c>
      <c r="C12" t="inlineStr" s="6">
        <is>
          <t xml:space="preserve">Watch</t>
        </is>
      </c>
      <c r="D12" t="inlineStr" s="0">
        <is>
          <t xml:space="preserve">Tech &amp; AI</t>
        </is>
      </c>
    </row>
    <row r="13">
      <c r="A13" t="inlineStr" s="0">
        <is>
          <t xml:space="preserve">Frontier</t>
        </is>
      </c>
      <c r="B13" s="3">
        <v>0.7</v>
      </c>
      <c r="C13" t="inlineStr" s="7">
        <is>
          <t xml:space="preserve">At risk</t>
        </is>
      </c>
      <c r="D13" t="inlineStr" s="0">
        <is>
          <t xml:space="preserve">Tech &amp; AI</t>
        </is>
      </c>
    </row>
    <row r="14">
      <c r="A14" t="inlineStr" s="0">
        <is>
          <t xml:space="preserve">People, process, product</t>
        </is>
      </c>
      <c r="B14" s="3">
        <v>0.76</v>
      </c>
      <c r="C14" t="inlineStr" s="5">
        <is>
          <t xml:space="preserve">On track</t>
        </is>
      </c>
      <c r="D14" t="inlineStr" s="0">
        <is>
          <t xml:space="preserve">Operators</t>
        </is>
      </c>
    </row>
    <row r="15">
      <c r="A15" t="inlineStr" s="0">
        <is>
          <t xml:space="preserve">Sell and protect</t>
        </is>
      </c>
      <c r="B15" s="3">
        <v>0.2</v>
      </c>
      <c r="C15" t="inlineStr" s="7">
        <is>
          <t xml:space="preserve">At risk</t>
        </is>
      </c>
      <c r="D15" t="inlineStr" s="0">
        <is>
          <t xml:space="preserve">Operators</t>
        </is>
      </c>
    </row>
    <row r="16">
      <c r="A16" t="inlineStr" s="0">
        <is>
          <t xml:space="preserve">Sales cures all</t>
        </is>
      </c>
      <c r="B16" s="3">
        <v>0.06</v>
      </c>
      <c r="C16" t="inlineStr" s="7">
        <is>
          <t xml:space="preserve">At risk</t>
        </is>
      </c>
      <c r="D16" t="inlineStr" s="0">
        <is>
          <t xml:space="preserve">Operators</t>
        </is>
      </c>
    </row>
    <row r="17">
      <c r="A17" t="inlineStr" s="0">
        <is>
          <t xml:space="preserve">Cash scoreboard</t>
        </is>
      </c>
      <c r="B17" s="3">
        <v>0.32</v>
      </c>
      <c r="C17" t="inlineStr" s="7">
        <is>
          <t xml:space="preserve">At risk</t>
        </is>
      </c>
      <c r="D17" t="inlineStr" s="0">
        <is>
          <t xml:space="preserve">Capital &amp; cash</t>
        </is>
      </c>
    </row>
    <row r="18">
      <c r="A18" t="inlineStr" s="0">
        <is>
          <t xml:space="preserve">Learn-it-all</t>
        </is>
      </c>
      <c r="B18" s="3">
        <v>0.45</v>
      </c>
      <c r="C18" t="inlineStr" s="6">
        <is>
          <t xml:space="preserve">Watch</t>
        </is>
      </c>
      <c r="D18" t="inlineStr" s="0">
        <is>
          <t xml:space="preserve">Tech &amp; AI</t>
        </is>
      </c>
    </row>
    <row r="19">
      <c r="A19" t="inlineStr" s="0">
        <is>
          <t xml:space="preserve">Software leverage</t>
        </is>
      </c>
      <c r="B19" s="3">
        <v>0.13</v>
      </c>
      <c r="C19" t="inlineStr" s="6">
        <is>
          <t xml:space="preserve">Watch</t>
        </is>
      </c>
      <c r="D19" t="inlineStr" s="0">
        <is>
          <t xml:space="preserve">Tech &amp; AI</t>
        </is>
      </c>
    </row>
    <row r="20">
      <c r="A20" t="inlineStr" s="0">
        <is>
          <t xml:space="preserve">User-first platform</t>
        </is>
      </c>
      <c r="B20" s="3">
        <v>0.75</v>
      </c>
      <c r="C20" t="inlineStr" s="5">
        <is>
          <t xml:space="preserve">On track</t>
        </is>
      </c>
      <c r="D20" t="inlineStr" s="0">
        <is>
          <t xml:space="preserve">Tech &amp; AI</t>
        </is>
      </c>
    </row>
    <row r="21">
      <c r="A21" t="inlineStr" s="0">
        <is>
          <t xml:space="preserve">Contained companion</t>
        </is>
      </c>
      <c r="B21" s="3">
        <v>0.6</v>
      </c>
      <c r="C21" t="inlineStr" s="7">
        <is>
          <t xml:space="preserve">At risk</t>
        </is>
      </c>
      <c r="D21" t="inlineStr" s="0">
        <is>
          <t xml:space="preserve">Tech &amp; AI</t>
        </is>
      </c>
    </row>
    <row r="22">
      <c r="A22" t="inlineStr" s="0">
        <is>
          <t xml:space="preserve">Trust by design</t>
        </is>
      </c>
      <c r="B22" s="3">
        <v>0</v>
      </c>
      <c r="C22" t="inlineStr" s="7">
        <is>
          <t xml:space="preserve">At risk</t>
        </is>
      </c>
      <c r="D22" t="inlineStr" s="0">
        <is>
          <t xml:space="preserve">Legal</t>
        </is>
      </c>
    </row>
    <row r="23">
      <c r="A23" t="inlineStr" s="0">
        <is>
          <t xml:space="preserve">Invert first</t>
        </is>
      </c>
      <c r="B23" s="3">
        <v>0</v>
      </c>
      <c r="C23" t="inlineStr" s="7">
        <is>
          <t xml:space="preserve">At risk</t>
        </is>
      </c>
      <c r="D23" t="inlineStr" s="0">
        <is>
          <t xml:space="preserve">Legal</t>
        </is>
      </c>
    </row>
    <row r="24">
      <c r="A24" t="inlineStr" s="0">
        <is>
          <t xml:space="preserve">Front line first</t>
        </is>
      </c>
      <c r="B24" s="3">
        <v>0.4</v>
      </c>
      <c r="C24" t="inlineStr" s="6">
        <is>
          <t xml:space="preserve">Watch</t>
        </is>
      </c>
      <c r="D24" t="inlineStr" s="0">
        <is>
          <t xml:space="preserve">Retail</t>
        </is>
      </c>
    </row>
    <row r="25">
      <c r="A25" t="inlineStr" s="0">
        <is>
          <t xml:space="preserve">Day 1 customer</t>
        </is>
      </c>
      <c r="B25" s="3">
        <v>0.3</v>
      </c>
      <c r="C25" t="inlineStr" s="6">
        <is>
          <t xml:space="preserve">Watch</t>
        </is>
      </c>
      <c r="D25" t="inlineStr" s="0">
        <is>
          <t xml:space="preserve">Retail</t>
        </is>
      </c>
    </row>
    <row r="26">
      <c r="A26" t="inlineStr" s="0">
        <is>
          <t xml:space="preserve">Client interest first</t>
        </is>
      </c>
      <c r="B26" s="3">
        <v>0</v>
      </c>
      <c r="C26" t="inlineStr" s="6">
        <is>
          <t xml:space="preserve">Watch</t>
        </is>
      </c>
      <c r="D26" t="inlineStr" s="0">
        <is>
          <t xml:space="preserve">Consulting</t>
        </is>
      </c>
    </row>
    <row r="27">
      <c r="A27" t="inlineStr" s="0">
        <is>
          <t xml:space="preserve">Reusable frameworks</t>
        </is>
      </c>
      <c r="B27" s="3">
        <v>0.2</v>
      </c>
      <c r="C27" t="inlineStr" s="6">
        <is>
          <t xml:space="preserve">Watch</t>
        </is>
      </c>
      <c r="D27" t="inlineStr" s="0">
        <is>
          <t xml:space="preserve">Consulting</t>
        </is>
      </c>
    </row>
    <row r="28">
      <c r="A28" t="inlineStr" s="0">
        <is>
          <t xml:space="preserve">Grow on collected cash</t>
        </is>
      </c>
      <c r="B28" s="3">
        <v>0.7</v>
      </c>
      <c r="C28" t="inlineStr" s="6">
        <is>
          <t xml:space="preserve">Watch</t>
        </is>
      </c>
      <c r="D28" t="inlineStr" s="0">
        <is>
          <t xml:space="preserve">Capital &amp; cash</t>
        </is>
      </c>
    </row>
    <row r="29">
      <c r="A29" t="inlineStr" s="0">
        <is>
          <t xml:space="preserve">Think straight, talk straight</t>
        </is>
      </c>
      <c r="B29" s="3">
        <v>0.2</v>
      </c>
      <c r="C29" t="inlineStr" s="7">
        <is>
          <t xml:space="preserve">At risk</t>
        </is>
      </c>
      <c r="D29" t="inlineStr" s="0">
        <is>
          <t xml:space="preserve">Accounting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20" customWidth="1"/>
    <col min="2" max="2" width="12" customWidth="1"/>
    <col min="3" max="3" width="10" customWidth="1"/>
  </cols>
  <sheetData>
    <row r="1">
      <c r="A1" t="inlineStr" s="4">
        <is>
          <t xml:space="preserve">Lens families</t>
        </is>
      </c>
    </row>
    <row r="2">
      <c r="A2" t="inlineStr" s="9">
        <is>
          <t xml:space="preserve">Average score by family</t>
        </is>
      </c>
    </row>
    <row r="3"/>
    <row r="4">
      <c r="A4" t="inlineStr" s="1">
        <is>
          <t xml:space="preserve">Family</t>
        </is>
      </c>
      <c r="B4" t="inlineStr" s="1">
        <is>
          <t xml:space="preserve">Average</t>
        </is>
      </c>
      <c r="C4" t="inlineStr" s="1">
        <is>
          <t xml:space="preserve">Lenses</t>
        </is>
      </c>
    </row>
    <row r="5">
      <c r="A5" t="inlineStr" s="0">
        <is>
          <t xml:space="preserve">Tech &amp; AI</t>
        </is>
      </c>
      <c r="B5" s="3">
        <f>AVERAGEIF('Lens scores'!D$5:D$29,A5,'Lens scores'!B$5:B$29)</f>
      </c>
      <c r="C5" s="10">
        <f>COUNTIF('Lens scores'!D$5:D$29,A5)</f>
      </c>
    </row>
    <row r="6">
      <c r="A6" t="inlineStr" s="0">
        <is>
          <t xml:space="preserve">Capital &amp; cash</t>
        </is>
      </c>
      <c r="B6" s="3">
        <f>AVERAGEIF('Lens scores'!D$5:D$29,A6,'Lens scores'!B$5:B$29)</f>
      </c>
      <c r="C6" s="10">
        <f>COUNTIF('Lens scores'!D$5:D$29,A6)</f>
      </c>
    </row>
    <row r="7">
      <c r="A7" t="inlineStr" s="0">
        <is>
          <t xml:space="preserve">Operators</t>
        </is>
      </c>
      <c r="B7" s="3">
        <f>AVERAGEIF('Lens scores'!D$5:D$29,A7,'Lens scores'!B$5:B$29)</f>
      </c>
      <c r="C7" s="10">
        <f>COUNTIF('Lens scores'!D$5:D$29,A7)</f>
      </c>
    </row>
    <row r="8">
      <c r="A8" t="inlineStr" s="0">
        <is>
          <t xml:space="preserve">Legal</t>
        </is>
      </c>
      <c r="B8" s="3">
        <f>AVERAGEIF('Lens scores'!D$5:D$29,A8,'Lens scores'!B$5:B$29)</f>
      </c>
      <c r="C8" s="10">
        <f>COUNTIF('Lens scores'!D$5:D$29,A8)</f>
      </c>
    </row>
    <row r="9">
      <c r="A9" t="inlineStr" s="0">
        <is>
          <t xml:space="preserve">Retail</t>
        </is>
      </c>
      <c r="B9" s="3">
        <f>AVERAGEIF('Lens scores'!D$5:D$29,A9,'Lens scores'!B$5:B$29)</f>
      </c>
      <c r="C9" s="10">
        <f>COUNTIF('Lens scores'!D$5:D$29,A9)</f>
      </c>
    </row>
    <row r="10">
      <c r="A10" t="inlineStr" s="0">
        <is>
          <t xml:space="preserve">Consulting</t>
        </is>
      </c>
      <c r="B10" s="3">
        <f>AVERAGEIF('Lens scores'!D$5:D$29,A10,'Lens scores'!B$5:B$29)</f>
      </c>
      <c r="C10" s="10">
        <f>COUNTIF('Lens scores'!D$5:D$29,A10)</f>
      </c>
    </row>
    <row r="11">
      <c r="A11" t="inlineStr" s="0">
        <is>
          <t xml:space="preserve">Accounting</t>
        </is>
      </c>
      <c r="B11" s="3">
        <f>AVERAGEIF('Lens scores'!D$5:D$29,A11,'Lens scores'!B$5:B$29)</f>
      </c>
      <c r="C11" s="10">
        <f>COUNTIF('Lens scores'!D$5:D$29,A11)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22" customWidth="1"/>
    <col min="2" max="2" width="10" customWidth="1"/>
    <col min="3" max="3" width="10" customWidth="1"/>
  </cols>
  <sheetData>
    <row r="1">
      <c r="A1" t="inlineStr" s="4">
        <is>
          <t xml:space="preserve">Recommendations by group</t>
        </is>
      </c>
    </row>
    <row r="2">
      <c r="A2" t="inlineStr" s="9">
        <is>
          <t xml:space="preserve">Live against planned</t>
        </is>
      </c>
    </row>
    <row r="3"/>
    <row r="4">
      <c r="A4" t="inlineStr" s="1">
        <is>
          <t xml:space="preserve">Group</t>
        </is>
      </c>
      <c r="B4" t="inlineStr" s="1">
        <is>
          <t xml:space="preserve">Live</t>
        </is>
      </c>
      <c r="C4" t="inlineStr" s="1">
        <is>
          <t xml:space="preserve">Planned</t>
        </is>
      </c>
    </row>
    <row r="5">
      <c r="A5" t="inlineStr" s="0">
        <is>
          <t xml:space="preserve">Top ten</t>
        </is>
      </c>
      <c r="B5" s="0">
        <v>9</v>
      </c>
      <c r="C5" s="0">
        <v>1</v>
      </c>
    </row>
    <row r="6">
      <c r="A6" t="inlineStr" s="0">
        <is>
          <t xml:space="preserve">Founder upgrade</t>
        </is>
      </c>
      <c r="B6" s="0">
        <v>61</v>
      </c>
      <c r="C6" s="0">
        <v>0</v>
      </c>
    </row>
    <row r="7">
      <c r="A7" t="inlineStr" s="0">
        <is>
          <t xml:space="preserve">Dash Legal</t>
        </is>
      </c>
      <c r="B7" s="0">
        <v>8</v>
      </c>
      <c r="C7" s="0">
        <v>0</v>
      </c>
    </row>
    <row r="8">
      <c r="A8" t="inlineStr" s="0">
        <is>
          <t xml:space="preserve">Superintelligence</t>
        </is>
      </c>
      <c r="B8" s="0">
        <v>92</v>
      </c>
      <c r="C8" s="0">
        <v>0</v>
      </c>
    </row>
    <row r="9">
      <c r="A9" t="inlineStr" s="0">
        <is>
          <t xml:space="preserve">App enrichment</t>
        </is>
      </c>
      <c r="B9" s="0">
        <v>34</v>
      </c>
      <c r="C9" s="0">
        <v>2</v>
      </c>
    </row>
    <row r="10">
      <c r="A10" t="inlineStr" s="0">
        <is>
          <t xml:space="preserve">Screen group</t>
        </is>
      </c>
      <c r="B10" s="0">
        <v>22</v>
      </c>
      <c r="C10" s="0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Sign the first retainer to lift Platform leverage</t>
        </is>
      </c>
      <c r="C5" t="inlineStr" s="0">
        <is>
          <t xml:space="preserve">Owner</t>
        </is>
      </c>
      <c r="D5" t="inlineStr" s="0">
        <is>
          <t xml:space="preserve">31 Oct 2026</t>
        </is>
      </c>
      <c r="E5" t="inlineStr" s="0">
        <is>
          <t xml:space="preserve">Platform</t>
        </is>
      </c>
    </row>
    <row r="6">
      <c r="A6" s="0">
        <v>2</v>
      </c>
      <c r="B6" t="inlineStr" s="0">
        <is>
          <t xml:space="preserve">Write a pre-mortem for every logged decision</t>
        </is>
      </c>
      <c r="C6" t="inlineStr" s="0">
        <is>
          <t xml:space="preserve">Owner</t>
        </is>
      </c>
      <c r="D6" t="inlineStr" s="0">
        <is>
          <t xml:space="preserve">2 Oct 2026</t>
        </is>
      </c>
      <c r="E6" t="inlineStr" s="0">
        <is>
          <t xml:space="preserve">Invert first</t>
        </is>
      </c>
    </row>
    <row r="7">
      <c r="A7" s="0">
        <v>3</v>
      </c>
      <c r="B7" t="inlineStr" s="0">
        <is>
          <t xml:space="preserve">Set a PIN on all four seats</t>
        </is>
      </c>
      <c r="C7" t="inlineStr" s="0">
        <is>
          <t xml:space="preserve">Owner</t>
        </is>
      </c>
      <c r="D7" t="inlineStr" s="0">
        <is>
          <t xml:space="preserve">Today</t>
        </is>
      </c>
      <c r="E7" t="inlineStr" s="0">
        <is>
          <t xml:space="preserve">Trust by design</t>
        </is>
      </c>
    </row>
    <row r="8">
      <c r="A8" s="0">
        <v>4</v>
      </c>
      <c r="B8" t="inlineStr" s="0">
        <is>
          <t xml:space="preserve">Record scope sold against scope needed for Everlast</t>
        </is>
      </c>
      <c r="C8" t="inlineStr" s="0">
        <is>
          <t xml:space="preserve">Owner</t>
        </is>
      </c>
      <c r="D8" t="inlineStr" s="0">
        <is>
          <t xml:space="preserve">9 Oct 2026</t>
        </is>
      </c>
      <c r="E8" t="inlineStr" s="0">
        <is>
          <t xml:space="preserve">Client interest first</t>
        </is>
      </c>
    </row>
  </sheetData>
</worksheet>
</file>