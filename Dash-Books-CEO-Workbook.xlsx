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Invoices" sheetId="2" r:id="rId2"/>
    <sheet name="Expenses" sheetId="3" r:id="rId3"/>
    <sheet name="Spend by category" sheetId="4" r:id="rId4"/>
    <sheet name="Runway 13 weeks" sheetId="5" r:id="rId5"/>
    <sheet name="Founders' read" sheetId="6" r:id="rId6"/>
    <sheet name="CEO actions" sheetId="7" r:id="rId7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8" customWidth="1"/>
    <col min="3" max="3" width="40" customWidth="1"/>
  </cols>
  <sheetData>
    <row r="1">
      <c r="A1" t="inlineStr" s="4">
        <is>
          <t xml:space="preserve">Dash Books · CEO summary</t>
        </is>
      </c>
    </row>
    <row r="2">
      <c r="A2" t="inlineStr" s="9">
        <is>
          <t xml:space="preserve">DashRite Advisory LLC · books as of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Revenue collected</t>
        </is>
      </c>
      <c r="B5" s="2">
        <f>SUM(Invoices!F5:F6)</f>
      </c>
      <c r="C5" t="inlineStr" s="0">
        <is>
          <t xml:space="preserve">Two Everlast projects, both paid</t>
        </is>
      </c>
    </row>
    <row r="6">
      <c r="A6" t="inlineStr" s="0">
        <is>
          <t xml:space="preserve">Business spend</t>
        </is>
      </c>
      <c r="B6" s="2">
        <f>SUM(Expenses!E5:E22)</f>
      </c>
      <c r="C6" t="inlineStr" s="0">
        <is>
          <t xml:space="preserve">18 entries, every one receipted</t>
        </is>
      </c>
    </row>
    <row r="7">
      <c r="A7" t="inlineStr" s="0">
        <is>
          <t xml:space="preserve">Net result</t>
        </is>
      </c>
      <c r="B7" s="8">
        <f>B5-B6</f>
      </c>
      <c r="C7" t="inlineStr" s="0">
        <is>
          <t xml:space="preserve">Revenue less spend</t>
        </is>
      </c>
    </row>
    <row r="8">
      <c r="A8" t="inlineStr" s="0">
        <is>
          <t xml:space="preserve">Spend as share of revenue</t>
        </is>
      </c>
      <c r="B8" s="3">
        <f>B6/B5</f>
      </c>
      <c r="C8" t="inlineStr" s="0">
        <is>
          <t xml:space="preserve">Target under 60%</t>
        </is>
      </c>
    </row>
    <row r="9">
      <c r="A9" t="inlineStr" s="0">
        <is>
          <t xml:space="preserve">Cash on hand</t>
        </is>
      </c>
      <c r="B9" s="2">
        <v>3000</v>
      </c>
      <c r="C9" t="inlineStr" s="0">
        <is>
          <t xml:space="preserve">Effective cash, ledger basis</t>
        </is>
      </c>
    </row>
    <row r="10">
      <c r="A10" t="inlineStr" s="0">
        <is>
          <t xml:space="preserve">Weekly spend (13-week average)</t>
        </is>
      </c>
      <c r="B10" s="2">
        <f>B6/13</f>
      </c>
      <c r="C10" t="inlineStr" s="0">
        <is>
          <t xml:space="preserve">Drives runway</t>
        </is>
      </c>
    </row>
    <row r="11">
      <c r="A11" t="inlineStr" s="0">
        <is>
          <t xml:space="preserve">Runway (weeks)</t>
        </is>
      </c>
      <c r="B11" s="10">
        <f>ROUNDDOWN(B9/B10,0)</f>
      </c>
      <c r="C11" t="inlineStr" s="0">
        <is>
          <t xml:space="preserve">Cash ÷ weekly spend</t>
        </is>
      </c>
    </row>
    <row r="12">
      <c r="A12" t="inlineStr" s="0">
        <is>
          <t xml:space="preserve">Largest category</t>
        </is>
      </c>
      <c r="B12" t="inlineStr" s="11">
        <is>
          <t xml:space="preserve">Travel — lodging &amp; fuel</t>
        </is>
      </c>
      <c r="C12" t="inlineStr" s="0">
        <is>
          <t xml:space="preserve">See Spend by category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0" customWidth="1"/>
    <col min="2" max="2" width="22" customWidth="1"/>
    <col min="3" max="3" width="40" customWidth="1"/>
    <col min="4" max="4" width="22" customWidth="1"/>
    <col min="5" max="5" width="20" customWidth="1"/>
    <col min="6" max="6" width="14" customWidth="1"/>
    <col min="7" max="7" width="14" customWidth="1"/>
    <col min="8" max="8" width="12" customWidth="1"/>
  </cols>
  <sheetData>
    <row r="1">
      <c r="A1" t="inlineStr" s="4">
        <is>
          <t xml:space="preserve">Invoices</t>
        </is>
      </c>
    </row>
    <row r="2">
      <c r="A2" t="inlineStr" s="9">
        <is>
          <t xml:space="preserve">Every invoice, terms and days to cash</t>
        </is>
      </c>
    </row>
    <row r="3"/>
    <row r="4">
      <c r="A4" t="inlineStr" s="1">
        <is>
          <t xml:space="preserve">Invoice</t>
        </is>
      </c>
      <c r="B4" t="inlineStr" s="1">
        <is>
          <t xml:space="preserve">Client</t>
        </is>
      </c>
      <c r="C4" t="inlineStr" s="1">
        <is>
          <t xml:space="preserve">Work</t>
        </is>
      </c>
      <c r="D4" t="inlineStr" s="1">
        <is>
          <t xml:space="preserve">Type</t>
        </is>
      </c>
      <c r="E4" t="inlineStr" s="1">
        <is>
          <t xml:space="preserve">Terms</t>
        </is>
      </c>
      <c r="F4" t="inlineStr" s="1">
        <is>
          <t xml:space="preserve">Amount</t>
        </is>
      </c>
      <c r="G4" t="inlineStr" s="1">
        <is>
          <t xml:space="preserve">Paid on</t>
        </is>
      </c>
      <c r="H4" t="inlineStr" s="1">
        <is>
          <t xml:space="preserve">Days to pay</t>
        </is>
      </c>
    </row>
    <row r="5">
      <c r="A5" t="inlineStr" s="0">
        <is>
          <t xml:space="preserve">1004</t>
        </is>
      </c>
      <c r="B5" t="inlineStr" s="0">
        <is>
          <t xml:space="preserve">Everlast Welders</t>
        </is>
      </c>
      <c r="C5" t="inlineStr" s="0">
        <is>
          <t xml:space="preserve">Inventory Ordering &amp; Cost-Basis System</t>
        </is>
      </c>
      <c r="D5" t="inlineStr" s="0">
        <is>
          <t xml:space="preserve">Project — full fee</t>
        </is>
      </c>
      <c r="E5" t="inlineStr" s="0">
        <is>
          <t xml:space="preserve">Net-10</t>
        </is>
      </c>
      <c r="F5" s="2">
        <v>1500</v>
      </c>
      <c r="G5" t="inlineStr" s="0">
        <is>
          <t xml:space="preserve">2026-09-01</t>
        </is>
      </c>
      <c r="H5" s="0">
        <v>0</v>
      </c>
    </row>
    <row r="6">
      <c r="A6" t="inlineStr" s="0">
        <is>
          <t xml:space="preserve">1005</t>
        </is>
      </c>
      <c r="B6" t="inlineStr" s="0">
        <is>
          <t xml:space="preserve">Everlast Welders</t>
        </is>
      </c>
      <c r="C6" t="inlineStr" s="0">
        <is>
          <t xml:space="preserve">Priority 1 — Email Management</t>
        </is>
      </c>
      <c r="D6" t="inlineStr" s="0">
        <is>
          <t xml:space="preserve">Project — full fee, no deposit</t>
        </is>
      </c>
      <c r="E6" t="inlineStr" s="0">
        <is>
          <t xml:space="preserve">PIF at completion</t>
        </is>
      </c>
      <c r="F6" s="2">
        <v>1500</v>
      </c>
      <c r="G6" t="inlineStr" s="0">
        <is>
          <t xml:space="preserve">2026-09-05</t>
        </is>
      </c>
      <c r="H6" s="0">
        <v>3</v>
      </c>
    </row>
    <row r="7"/>
    <row r="8">
      <c r="A8" t="inlineStr" s="11">
        <is>
          <t xml:space="preserve">Total</t>
        </is>
      </c>
      <c r="F8" s="8">
        <f>SUM(F5:F6)</f>
      </c>
      <c r="H8" s="10">
        <f>AVERAGE(H5:H6)</f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2" customWidth="1"/>
    <col min="2" max="2" width="40" customWidth="1"/>
    <col min="3" max="3" width="30" customWidth="1"/>
    <col min="4" max="4" width="24" customWidth="1"/>
    <col min="5" max="5" width="14" customWidth="1"/>
  </cols>
  <sheetData>
    <row r="1">
      <c r="A1" t="inlineStr" s="4">
        <is>
          <t xml:space="preserve">Expenses</t>
        </is>
      </c>
    </row>
    <row r="2">
      <c r="A2" t="inlineStr" s="9">
        <is>
          <t xml:space="preserve">Receipted business spend, newest first</t>
        </is>
      </c>
    </row>
    <row r="3"/>
    <row r="4">
      <c r="A4" t="inlineStr" s="1">
        <is>
          <t xml:space="preserve">Date</t>
        </is>
      </c>
      <c r="B4" t="inlineStr" s="1">
        <is>
          <t xml:space="preserve">Merchant</t>
        </is>
      </c>
      <c r="C4" t="inlineStr" s="1">
        <is>
          <t xml:space="preserve">Category</t>
        </is>
      </c>
      <c r="D4" t="inlineStr" s="1">
        <is>
          <t xml:space="preserve">Paid with</t>
        </is>
      </c>
      <c r="E4" t="inlineStr" s="1">
        <is>
          <t xml:space="preserve">Amount</t>
        </is>
      </c>
    </row>
    <row r="5">
      <c r="A5" t="inlineStr" s="0">
        <is>
          <t xml:space="preserve">2026-09-08</t>
        </is>
      </c>
      <c r="B5" t="inlineStr" s="0">
        <is>
          <t xml:space="preserve">FedEx Office — Clearwater, FL</t>
        </is>
      </c>
      <c r="C5" t="inlineStr" s="0">
        <is>
          <t xml:space="preserve">Marketing &amp; advertising</t>
        </is>
      </c>
      <c r="D5" t="inlineStr" s="0">
        <is>
          <t xml:space="preserve">AMEX ••2002</t>
        </is>
      </c>
      <c r="E5" s="2">
        <v>9.12</v>
      </c>
    </row>
    <row r="6">
      <c r="A6" t="inlineStr" s="0">
        <is>
          <t xml:space="preserve">2026-09-03</t>
        </is>
      </c>
      <c r="B6" t="inlineStr" s="0">
        <is>
          <t xml:space="preserve">FedEx Office — Clearwater, FL</t>
        </is>
      </c>
      <c r="C6" t="inlineStr" s="0">
        <is>
          <t xml:space="preserve">Office supplies &amp; postage</t>
        </is>
      </c>
      <c r="D6" t="inlineStr" s="0">
        <is>
          <t xml:space="preserve">AMEX ••2002</t>
        </is>
      </c>
      <c r="E6" s="2">
        <v>3.02</v>
      </c>
    </row>
    <row r="7">
      <c r="A7" t="inlineStr" s="0">
        <is>
          <t xml:space="preserve">2026-08-26</t>
        </is>
      </c>
      <c r="B7" t="inlineStr" s="0">
        <is>
          <t xml:space="preserve">Extended Stay America — Clearwater, FL</t>
        </is>
      </c>
      <c r="C7" t="inlineStr" s="0">
        <is>
          <t xml:space="preserve">Travel — lodging &amp; fuel</t>
        </is>
      </c>
      <c r="D7" t="inlineStr" s="0">
        <is>
          <t xml:space="preserve">AMEX ••2002</t>
        </is>
      </c>
      <c r="E7" s="2">
        <v>398.16</v>
      </c>
    </row>
    <row r="8">
      <c r="A8" t="inlineStr" s="0">
        <is>
          <t xml:space="preserve">2026-08-29</t>
        </is>
      </c>
      <c r="B8" t="inlineStr" s="0">
        <is>
          <t xml:space="preserve">Costco — Clearwater, FL</t>
        </is>
      </c>
      <c r="C8" t="inlineStr" s="0">
        <is>
          <t xml:space="preserve">Travel — lodging &amp; fuel</t>
        </is>
      </c>
      <c r="D8" t="inlineStr" s="0">
        <is>
          <t xml:space="preserve">Personal — Wells Fargo</t>
        </is>
      </c>
      <c r="E8" s="2">
        <v>50.18</v>
      </c>
    </row>
    <row r="9">
      <c r="A9" t="inlineStr" s="0">
        <is>
          <t xml:space="preserve">2026-08-19</t>
        </is>
      </c>
      <c r="B9" t="inlineStr" s="0">
        <is>
          <t xml:space="preserve">Logitech</t>
        </is>
      </c>
      <c r="C9" t="inlineStr" s="0">
        <is>
          <t xml:space="preserve">Office equipment</t>
        </is>
      </c>
      <c r="D9" t="inlineStr" s="0">
        <is>
          <t xml:space="preserve">Cash</t>
        </is>
      </c>
      <c r="E9" s="2">
        <v>96.29</v>
      </c>
    </row>
    <row r="10">
      <c r="A10" t="inlineStr" s="0">
        <is>
          <t xml:space="preserve">2026-08-19</t>
        </is>
      </c>
      <c r="B10" t="inlineStr" s="0">
        <is>
          <t xml:space="preserve">Samsung</t>
        </is>
      </c>
      <c r="C10" t="inlineStr" s="0">
        <is>
          <t xml:space="preserve">Office equipment</t>
        </is>
      </c>
      <c r="D10" t="inlineStr" s="0">
        <is>
          <t xml:space="preserve">Cash</t>
        </is>
      </c>
      <c r="E10" s="2">
        <v>524.29</v>
      </c>
    </row>
    <row r="11">
      <c r="A11" t="inlineStr" s="0">
        <is>
          <t xml:space="preserve">2026-08-19</t>
        </is>
      </c>
      <c r="B11" t="inlineStr" s="0">
        <is>
          <t xml:space="preserve">Extended Stay America — Clearwater, FL</t>
        </is>
      </c>
      <c r="C11" t="inlineStr" s="0">
        <is>
          <t xml:space="preserve">Travel — lodging &amp; fuel</t>
        </is>
      </c>
      <c r="D11" t="inlineStr" s="0">
        <is>
          <t xml:space="preserve">AMEX ••2002</t>
        </is>
      </c>
      <c r="E11" s="2">
        <v>398.16</v>
      </c>
    </row>
    <row r="12">
      <c r="A12" t="inlineStr" s="0">
        <is>
          <t xml:space="preserve">2026-08-19</t>
        </is>
      </c>
      <c r="B12" t="inlineStr" s="0">
        <is>
          <t xml:space="preserve">Dell</t>
        </is>
      </c>
      <c r="C12" t="inlineStr" s="0">
        <is>
          <t xml:space="preserve">Office equipment</t>
        </is>
      </c>
      <c r="D12" t="inlineStr" s="0">
        <is>
          <t xml:space="preserve">Cash</t>
        </is>
      </c>
      <c r="E12" s="2">
        <v>449.4</v>
      </c>
    </row>
    <row r="13">
      <c r="A13" t="inlineStr" s="0">
        <is>
          <t xml:space="preserve">2026-08-19</t>
        </is>
      </c>
      <c r="B13" t="inlineStr" s="0">
        <is>
          <t xml:space="preserve">FL Division of Corporations</t>
        </is>
      </c>
      <c r="C13" t="inlineStr" s="0">
        <is>
          <t xml:space="preserve">Legal &amp; professional</t>
        </is>
      </c>
      <c r="D13" t="inlineStr" s="0">
        <is>
          <t xml:space="preserve">AMEX ••2002</t>
        </is>
      </c>
      <c r="E13" s="2">
        <v>130</v>
      </c>
    </row>
    <row r="14">
      <c r="A14" t="inlineStr" s="0">
        <is>
          <t xml:space="preserve">2026-08-18</t>
        </is>
      </c>
      <c r="B14" t="inlineStr" s="0">
        <is>
          <t xml:space="preserve">Tommys Express — Largo, FL</t>
        </is>
      </c>
      <c r="C14" t="inlineStr" s="0">
        <is>
          <t xml:space="preserve">Travel — lodging &amp; fuel</t>
        </is>
      </c>
      <c r="D14" t="inlineStr" s="0">
        <is>
          <t xml:space="preserve">AMEX ••4417</t>
        </is>
      </c>
      <c r="E14" s="2">
        <v>22</v>
      </c>
    </row>
    <row r="15">
      <c r="A15" t="inlineStr" s="0">
        <is>
          <t xml:space="preserve">2026-08-12</t>
        </is>
      </c>
      <c r="B15" t="inlineStr" s="0">
        <is>
          <t xml:space="preserve">Extended Stay America — Clearwater, FL</t>
        </is>
      </c>
      <c r="C15" t="inlineStr" s="0">
        <is>
          <t xml:space="preserve">Travel — lodging &amp; fuel</t>
        </is>
      </c>
      <c r="D15" t="inlineStr" s="0">
        <is>
          <t xml:space="preserve">AMEX ••2002</t>
        </is>
      </c>
      <c r="E15" s="2">
        <v>398.16</v>
      </c>
    </row>
    <row r="16">
      <c r="A16" t="inlineStr" s="0">
        <is>
          <t xml:space="preserve">2026-08-17</t>
        </is>
      </c>
      <c r="B16" t="inlineStr" s="0">
        <is>
          <t xml:space="preserve">Murphy Express — Tampa, FL</t>
        </is>
      </c>
      <c r="C16" t="inlineStr" s="0">
        <is>
          <t xml:space="preserve">Travel — lodging &amp; fuel</t>
        </is>
      </c>
      <c r="D16" t="inlineStr" s="0">
        <is>
          <t xml:space="preserve">AMEX ••4417</t>
        </is>
      </c>
      <c r="E16" s="2">
        <v>20</v>
      </c>
    </row>
    <row r="17">
      <c r="A17" t="inlineStr" s="0">
        <is>
          <t xml:space="preserve">2026-08-17</t>
        </is>
      </c>
      <c r="B17" t="inlineStr" s="0">
        <is>
          <t xml:space="preserve">Adobe</t>
        </is>
      </c>
      <c r="C17" t="inlineStr" s="0">
        <is>
          <t xml:space="preserve">Software &amp; AI subscriptions</t>
        </is>
      </c>
      <c r="D17" t="inlineStr" s="0">
        <is>
          <t xml:space="preserve">AMEX ••4417</t>
        </is>
      </c>
      <c r="E17" s="2">
        <v>19.99</v>
      </c>
    </row>
    <row r="18">
      <c r="A18" t="inlineStr" s="0">
        <is>
          <t xml:space="preserve">2026-08-14</t>
        </is>
      </c>
      <c r="B18" t="inlineStr" s="0">
        <is>
          <t xml:space="preserve">Home Depot</t>
        </is>
      </c>
      <c r="C18" t="inlineStr" s="0">
        <is>
          <t xml:space="preserve">Office supplies &amp; postage</t>
        </is>
      </c>
      <c r="D18" t="inlineStr" s="0">
        <is>
          <t xml:space="preserve">Card ••4417</t>
        </is>
      </c>
      <c r="E18" s="2">
        <v>9.49</v>
      </c>
    </row>
    <row r="19">
      <c r="A19" t="inlineStr" s="0">
        <is>
          <t xml:space="preserve">2026-08-17</t>
        </is>
      </c>
      <c r="B19" t="inlineStr" s="0">
        <is>
          <t xml:space="preserve">Costco — SanDisk 2TB</t>
        </is>
      </c>
      <c r="C19" t="inlineStr" s="0">
        <is>
          <t xml:space="preserve">Equipment — de minimis</t>
        </is>
      </c>
      <c r="D19" t="inlineStr" s="0">
        <is>
          <t xml:space="preserve">Card ••4417</t>
        </is>
      </c>
      <c r="E19" s="2">
        <v>264.08</v>
      </c>
    </row>
    <row r="20">
      <c r="A20" t="inlineStr" s="0">
        <is>
          <t xml:space="preserve">2026-08-11</t>
        </is>
      </c>
      <c r="B20" t="inlineStr" s="0">
        <is>
          <t xml:space="preserve">Fuel — travel</t>
        </is>
      </c>
      <c r="C20" t="inlineStr" s="0">
        <is>
          <t xml:space="preserve">Travel — lodging &amp; fuel</t>
        </is>
      </c>
      <c r="D20" t="inlineStr" s="0">
        <is>
          <t xml:space="preserve">Card ••4417</t>
        </is>
      </c>
      <c r="E20" s="2">
        <v>25.11</v>
      </c>
    </row>
    <row r="21">
      <c r="A21" t="inlineStr" s="0">
        <is>
          <t xml:space="preserve">2026-08-11</t>
        </is>
      </c>
      <c r="B21" t="inlineStr" s="0">
        <is>
          <t xml:space="preserve">Fuel — travel</t>
        </is>
      </c>
      <c r="C21" t="inlineStr" s="0">
        <is>
          <t xml:space="preserve">Travel — lodging &amp; fuel</t>
        </is>
      </c>
      <c r="D21" t="inlineStr" s="0">
        <is>
          <t xml:space="preserve">Card ••4417</t>
        </is>
      </c>
      <c r="E21" s="2">
        <v>16.06</v>
      </c>
    </row>
    <row r="22">
      <c r="A22" t="inlineStr" s="0">
        <is>
          <t xml:space="preserve">2026-08-10</t>
        </is>
      </c>
      <c r="B22" t="inlineStr" s="0">
        <is>
          <t xml:space="preserve">Fuel — travel</t>
        </is>
      </c>
      <c r="C22" t="inlineStr" s="0">
        <is>
          <t xml:space="preserve">Travel — lodging &amp; fuel</t>
        </is>
      </c>
      <c r="D22" t="inlineStr" s="0">
        <is>
          <t xml:space="preserve">Card ••4417</t>
        </is>
      </c>
      <c r="E22" s="2">
        <v>37.19</v>
      </c>
    </row>
    <row r="23"/>
    <row r="24">
      <c r="A24" t="inlineStr" s="11">
        <is>
          <t xml:space="preserve">Total</t>
        </is>
      </c>
      <c r="E24" s="8">
        <f>SUM(E5:E22)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6" customWidth="1"/>
    <col min="3" max="3" width="12" customWidth="1"/>
    <col min="4" max="4" width="12" customWidth="1"/>
  </cols>
  <sheetData>
    <row r="1">
      <c r="A1" t="inlineStr" s="4">
        <is>
          <t xml:space="preserve">Spend by category</t>
        </is>
      </c>
    </row>
    <row r="2">
      <c r="A2" t="inlineStr" s="9">
        <is>
          <t xml:space="preserve">SUMIF over the Expenses tab — edit an expense and this updates</t>
        </is>
      </c>
    </row>
    <row r="3"/>
    <row r="4">
      <c r="A4" t="inlineStr" s="1">
        <is>
          <t xml:space="preserve">Category</t>
        </is>
      </c>
      <c r="B4" t="inlineStr" s="1">
        <is>
          <t xml:space="preserve">Amount</t>
        </is>
      </c>
      <c r="C4" t="inlineStr" s="1">
        <is>
          <t xml:space="preserve">Share</t>
        </is>
      </c>
      <c r="D4" t="inlineStr" s="1">
        <is>
          <t xml:space="preserve">Entries</t>
        </is>
      </c>
    </row>
    <row r="5">
      <c r="A5" t="inlineStr" s="0">
        <is>
          <t xml:space="preserve">Marketing &amp; advertising</t>
        </is>
      </c>
      <c r="B5" s="2">
        <f>SUMIF(Expenses!C$5:C$22,A5,Expenses!E$5:E$22)</f>
      </c>
      <c r="C5" s="3">
        <f>B5/SUM(B$5:B$11)</f>
      </c>
      <c r="D5" s="10">
        <f>COUNTIF(Expenses!C$5:C$22,A5)</f>
      </c>
    </row>
    <row r="6">
      <c r="A6" t="inlineStr" s="0">
        <is>
          <t xml:space="preserve">Office supplies &amp; postage</t>
        </is>
      </c>
      <c r="B6" s="2">
        <f>SUMIF(Expenses!C$5:C$22,A6,Expenses!E$5:E$22)</f>
      </c>
      <c r="C6" s="3">
        <f>B6/SUM(B$5:B$11)</f>
      </c>
      <c r="D6" s="10">
        <f>COUNTIF(Expenses!C$5:C$22,A6)</f>
      </c>
    </row>
    <row r="7">
      <c r="A7" t="inlineStr" s="0">
        <is>
          <t xml:space="preserve">Travel — lodging &amp; fuel</t>
        </is>
      </c>
      <c r="B7" s="2">
        <f>SUMIF(Expenses!C$5:C$22,A7,Expenses!E$5:E$22)</f>
      </c>
      <c r="C7" s="3">
        <f>B7/SUM(B$5:B$11)</f>
      </c>
      <c r="D7" s="10">
        <f>COUNTIF(Expenses!C$5:C$22,A7)</f>
      </c>
    </row>
    <row r="8">
      <c r="A8" t="inlineStr" s="0">
        <is>
          <t xml:space="preserve">Office equipment</t>
        </is>
      </c>
      <c r="B8" s="2">
        <f>SUMIF(Expenses!C$5:C$22,A8,Expenses!E$5:E$22)</f>
      </c>
      <c r="C8" s="3">
        <f>B8/SUM(B$5:B$11)</f>
      </c>
      <c r="D8" s="10">
        <f>COUNTIF(Expenses!C$5:C$22,A8)</f>
      </c>
    </row>
    <row r="9">
      <c r="A9" t="inlineStr" s="0">
        <is>
          <t xml:space="preserve">Legal &amp; professional</t>
        </is>
      </c>
      <c r="B9" s="2">
        <f>SUMIF(Expenses!C$5:C$22,A9,Expenses!E$5:E$22)</f>
      </c>
      <c r="C9" s="3">
        <f>B9/SUM(B$5:B$11)</f>
      </c>
      <c r="D9" s="10">
        <f>COUNTIF(Expenses!C$5:C$22,A9)</f>
      </c>
    </row>
    <row r="10">
      <c r="A10" t="inlineStr" s="0">
        <is>
          <t xml:space="preserve">Software &amp; AI subscriptions</t>
        </is>
      </c>
      <c r="B10" s="2">
        <f>SUMIF(Expenses!C$5:C$22,A10,Expenses!E$5:E$22)</f>
      </c>
      <c r="C10" s="3">
        <f>B10/SUM(B$5:B$11)</f>
      </c>
      <c r="D10" s="10">
        <f>COUNTIF(Expenses!C$5:C$22,A10)</f>
      </c>
    </row>
    <row r="11">
      <c r="A11" t="inlineStr" s="0">
        <is>
          <t xml:space="preserve">Equipment — de minimis</t>
        </is>
      </c>
      <c r="B11" s="2">
        <f>SUMIF(Expenses!C$5:C$22,A11,Expenses!E$5:E$22)</f>
      </c>
      <c r="C11" s="3">
        <f>B11/SUM(B$5:B$11)</f>
      </c>
      <c r="D11" s="10">
        <f>COUNTIF(Expenses!C$5:C$22,A11)</f>
      </c>
    </row>
    <row r="12">
      <c r="A12" t="inlineStr" s="11">
        <is>
          <t xml:space="preserve">Total</t>
        </is>
      </c>
      <c r="B12" s="8">
        <f>SUM(B5:B11)</f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10" customWidth="1"/>
    <col min="2" max="2" width="16" customWidth="1"/>
    <col min="3" max="3" width="16" customWidth="1"/>
    <col min="4" max="4" width="16" customWidth="1"/>
  </cols>
  <sheetData>
    <row r="1">
      <c r="A1" t="inlineStr" s="4">
        <is>
          <t xml:space="preserve">Cash runway · 13 weeks</t>
        </is>
      </c>
    </row>
    <row r="2">
      <c r="A2" t="inlineStr" s="9">
        <is>
          <t xml:space="preserve">Opening cash less the 13-week average weekly spend</t>
        </is>
      </c>
    </row>
    <row r="3"/>
    <row r="4">
      <c r="A4" t="inlineStr" s="1">
        <is>
          <t xml:space="preserve">Week</t>
        </is>
      </c>
      <c r="B4" t="inlineStr" s="1">
        <is>
          <t xml:space="preserve">Opening</t>
        </is>
      </c>
      <c r="C4" t="inlineStr" s="1">
        <is>
          <t xml:space="preserve">Spend</t>
        </is>
      </c>
      <c r="D4" t="inlineStr" s="1">
        <is>
          <t xml:space="preserve">Closing</t>
        </is>
      </c>
    </row>
    <row r="5">
      <c r="A5" s="0">
        <v>1</v>
      </c>
      <c r="B5" s="2">
        <v>3000</v>
      </c>
      <c r="C5" s="2">
        <f>'CEO Summary'!$B$10</f>
      </c>
      <c r="D5" s="2">
        <f>MAX(0,B5-C5)</f>
      </c>
    </row>
    <row r="6">
      <c r="A6" s="0">
        <v>2</v>
      </c>
      <c r="B6" s="2">
        <f>D5</f>
      </c>
      <c r="C6" s="2">
        <f>'CEO Summary'!$B$10</f>
      </c>
      <c r="D6" s="2">
        <f>MAX(0,B6-C6)</f>
      </c>
    </row>
    <row r="7">
      <c r="A7" s="0">
        <v>3</v>
      </c>
      <c r="B7" s="2">
        <f>D6</f>
      </c>
      <c r="C7" s="2">
        <f>'CEO Summary'!$B$10</f>
      </c>
      <c r="D7" s="2">
        <f>MAX(0,B7-C7)</f>
      </c>
    </row>
    <row r="8">
      <c r="A8" s="0">
        <v>4</v>
      </c>
      <c r="B8" s="2">
        <f>D7</f>
      </c>
      <c r="C8" s="2">
        <f>'CEO Summary'!$B$10</f>
      </c>
      <c r="D8" s="2">
        <f>MAX(0,B8-C8)</f>
      </c>
    </row>
    <row r="9">
      <c r="A9" s="0">
        <v>5</v>
      </c>
      <c r="B9" s="2">
        <f>D8</f>
      </c>
      <c r="C9" s="2">
        <f>'CEO Summary'!$B$10</f>
      </c>
      <c r="D9" s="2">
        <f>MAX(0,B9-C9)</f>
      </c>
    </row>
    <row r="10">
      <c r="A10" s="0">
        <v>6</v>
      </c>
      <c r="B10" s="2">
        <f>D9</f>
      </c>
      <c r="C10" s="2">
        <f>'CEO Summary'!$B$10</f>
      </c>
      <c r="D10" s="2">
        <f>MAX(0,B10-C10)</f>
      </c>
    </row>
    <row r="11">
      <c r="A11" s="0">
        <v>7</v>
      </c>
      <c r="B11" s="2">
        <f>D10</f>
      </c>
      <c r="C11" s="2">
        <f>'CEO Summary'!$B$10</f>
      </c>
      <c r="D11" s="2">
        <f>MAX(0,B11-C11)</f>
      </c>
    </row>
    <row r="12">
      <c r="A12" s="0">
        <v>8</v>
      </c>
      <c r="B12" s="2">
        <f>D11</f>
      </c>
      <c r="C12" s="2">
        <f>'CEO Summary'!$B$10</f>
      </c>
      <c r="D12" s="2">
        <f>MAX(0,B12-C12)</f>
      </c>
    </row>
    <row r="13">
      <c r="A13" s="0">
        <v>9</v>
      </c>
      <c r="B13" s="2">
        <f>D12</f>
      </c>
      <c r="C13" s="2">
        <f>'CEO Summary'!$B$10</f>
      </c>
      <c r="D13" s="2">
        <f>MAX(0,B13-C13)</f>
      </c>
    </row>
    <row r="14">
      <c r="A14" s="0">
        <v>10</v>
      </c>
      <c r="B14" s="2">
        <f>D13</f>
      </c>
      <c r="C14" s="2">
        <f>'CEO Summary'!$B$10</f>
      </c>
      <c r="D14" s="2">
        <f>MAX(0,B14-C14)</f>
      </c>
    </row>
    <row r="15">
      <c r="A15" s="0">
        <v>11</v>
      </c>
      <c r="B15" s="2">
        <f>D14</f>
      </c>
      <c r="C15" s="2">
        <f>'CEO Summary'!$B$10</f>
      </c>
      <c r="D15" s="2">
        <f>MAX(0,B15-C15)</f>
      </c>
    </row>
    <row r="16">
      <c r="A16" s="0">
        <v>12</v>
      </c>
      <c r="B16" s="2">
        <f>D15</f>
      </c>
      <c r="C16" s="2">
        <f>'CEO Summary'!$B$10</f>
      </c>
      <c r="D16" s="2">
        <f>MAX(0,B16-C16)</f>
      </c>
    </row>
    <row r="17">
      <c r="A17" s="0">
        <v>13</v>
      </c>
      <c r="B17" s="2">
        <f>D16</f>
      </c>
      <c r="C17" s="2">
        <f>'CEO Summary'!$B$10</f>
      </c>
      <c r="D17" s="2">
        <f>MAX(0,B17-C17)</f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Capital</t>
        </is>
      </c>
      <c r="B5" s="3">
        <v>0.27</v>
      </c>
      <c r="C5" t="inlineStr" s="7">
        <is>
          <t xml:space="preserve">At risk</t>
        </is>
      </c>
      <c r="D5" t="inlineStr" s="0">
        <is>
          <t xml:space="preserve">Binding — act this week</t>
        </is>
      </c>
    </row>
    <row r="6">
      <c r="A6" t="inlineStr" s="0">
        <is>
          <t xml:space="preserve">Truth</t>
        </is>
      </c>
      <c r="B6" s="3">
        <v>1</v>
      </c>
      <c r="C6" t="inlineStr" s="5">
        <is>
          <t xml:space="preserve">On track</t>
        </is>
      </c>
      <c r="D6" t="inlineStr" s="0">
        <is>
          <t xml:space="preserve">Holding — keep the rhythm</t>
        </is>
      </c>
    </row>
    <row r="7">
      <c r="A7" t="inlineStr" s="0">
        <is>
          <t xml:space="preserve">Cash scoreboard</t>
        </is>
      </c>
      <c r="B7" s="3">
        <v>0.32</v>
      </c>
      <c r="C7" t="inlineStr" s="7">
        <is>
          <t xml:space="preserve">At risk</t>
        </is>
      </c>
      <c r="D7" t="inlineStr" s="0">
        <is>
          <t xml:space="preserve">Binding — act this week</t>
        </is>
      </c>
    </row>
    <row r="8">
      <c r="A8" t="inlineStr" s="0">
        <is>
          <t xml:space="preserve">Grow on collected cash</t>
        </is>
      </c>
      <c r="B8" s="3">
        <v>0.7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  <row r="9">
      <c r="A9" t="inlineStr" s="0">
        <is>
          <t xml:space="preserve">Think straight, talk straight</t>
        </is>
      </c>
      <c r="B9" s="3">
        <v>0.2</v>
      </c>
      <c r="C9" t="inlineStr" s="7">
        <is>
          <t xml:space="preserve">At risk</t>
        </is>
      </c>
      <c r="D9" t="inlineStr" s="0">
        <is>
          <t xml:space="preserve">Binding — act this week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Sign off the September books with all four checks</t>
        </is>
      </c>
      <c r="C5" t="inlineStr" s="0">
        <is>
          <t xml:space="preserve">Owner</t>
        </is>
      </c>
      <c r="D5" t="inlineStr" s="0">
        <is>
          <t xml:space="preserve">30 Sep 2026</t>
        </is>
      </c>
      <c r="E5" t="inlineStr" s="0">
        <is>
          <t xml:space="preserve">Think straight, talk straight</t>
        </is>
      </c>
    </row>
    <row r="6">
      <c r="A6" s="0">
        <v>2</v>
      </c>
      <c r="B6" t="inlineStr" s="0">
        <is>
          <t xml:space="preserve">Tag a return on every spending category</t>
        </is>
      </c>
      <c r="C6" t="inlineStr" s="0">
        <is>
          <t xml:space="preserve">Owner</t>
        </is>
      </c>
      <c r="D6" t="inlineStr" s="0">
        <is>
          <t xml:space="preserve">2 Oct 2026</t>
        </is>
      </c>
      <c r="E6" t="inlineStr" s="0">
        <is>
          <t xml:space="preserve">Cash scoreboard</t>
        </is>
      </c>
    </row>
    <row r="7">
      <c r="A7" s="0">
        <v>3</v>
      </c>
      <c r="B7" t="inlineStr" s="0">
        <is>
          <t xml:space="preserve">Take a deposit on the next engagement</t>
        </is>
      </c>
      <c r="C7" t="inlineStr" s="0">
        <is>
          <t xml:space="preserve">Owner</t>
        </is>
      </c>
      <c r="D7" t="inlineStr" s="0">
        <is>
          <t xml:space="preserve">Next proposal</t>
        </is>
      </c>
      <c r="E7" t="inlineStr" s="0">
        <is>
          <t xml:space="preserve">Grow on collected cash</t>
        </is>
      </c>
    </row>
    <row r="8">
      <c r="A8" s="0">
        <v>4</v>
      </c>
      <c r="B8" t="inlineStr" s="0">
        <is>
          <t xml:space="preserve">Review the three $398 lodging entries flagged as anomalies</t>
        </is>
      </c>
      <c r="C8" t="inlineStr" s="0">
        <is>
          <t xml:space="preserve">Owner</t>
        </is>
      </c>
      <c r="D8" t="inlineStr" s="0">
        <is>
          <t xml:space="preserve">30 Sep 2026</t>
        </is>
      </c>
      <c r="E8" t="inlineStr" s="0">
        <is>
          <t xml:space="preserve">Think straight, talk straight</t>
        </is>
      </c>
    </row>
  </sheetData>
</worksheet>
</file>