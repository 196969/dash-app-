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Unit economics" sheetId="2" r:id="rId2"/>
    <sheet name="Services" sheetId="3" r:id="rId3"/>
    <sheet name="Cost base" sheetId="4" r:id="rId4"/>
    <sheet name="Founders' read" sheetId="5" r:id="rId5"/>
    <sheet name="CEO actions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One · CEO summary</t>
        </is>
      </c>
    </row>
    <row r="2">
      <c r="A2" t="inlineStr" s="9">
        <is>
          <t xml:space="preserve">Unit economics and the cost base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Revenue per founder hour</t>
        </is>
      </c>
      <c r="B5" s="2">
        <f>3000/'Unit economics'!B6</f>
      </c>
      <c r="C5" t="inlineStr" s="0">
        <is>
          <t xml:space="preserve">Target $350</t>
        </is>
      </c>
    </row>
    <row r="6">
      <c r="A6" t="inlineStr" s="0">
        <is>
          <t xml:space="preserve">Cost per paid engagement</t>
        </is>
      </c>
      <c r="B6" s="2">
        <f>'Unit economics'!B7/2</f>
      </c>
      <c r="C6" t="inlineStr" s="0">
        <is>
          <t xml:space="preserve">Spend ÷ paid engagements</t>
        </is>
      </c>
    </row>
    <row r="7">
      <c r="A7" t="inlineStr" s="0">
        <is>
          <t xml:space="preserve">Annual cost base under contract</t>
        </is>
      </c>
      <c r="B7" s="2">
        <f>SUM('Cost base'!C5:C9)</f>
      </c>
      <c r="C7" t="inlineStr" s="0">
        <is>
          <t xml:space="preserve">Vendors and insurance</t>
        </is>
      </c>
    </row>
    <row r="8">
      <c r="A8" t="inlineStr" s="0">
        <is>
          <t xml:space="preserve">Gross margin on revenue</t>
        </is>
      </c>
      <c r="B8" s="3">
        <f>(3000-'Unit economics'!B7)/3000</f>
      </c>
      <c r="C8" t="inlineStr" s="0">
        <is>
          <t xml:space="preserve">Before owner pay</t>
        </is>
      </c>
    </row>
    <row r="9">
      <c r="A9" t="inlineStr" s="0">
        <is>
          <t xml:space="preserve">Recurring revenue</t>
        </is>
      </c>
      <c r="B9" s="2">
        <v>0</v>
      </c>
      <c r="C9" t="inlineStr" s="0">
        <is>
          <t xml:space="preserve">Pre-recurring until the first retainer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6" customWidth="1"/>
    <col min="3" max="3" width="30" customWidth="1"/>
  </cols>
  <sheetData>
    <row r="1">
      <c r="A1" t="inlineStr" s="4">
        <is>
          <t xml:space="preserve">Unit economics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Basis</t>
        </is>
      </c>
    </row>
    <row r="5">
      <c r="A5" t="inlineStr" s="0">
        <is>
          <t xml:space="preserve">Revenue collected</t>
        </is>
      </c>
      <c r="B5" s="2">
        <v>3000</v>
      </c>
      <c r="C5" t="inlineStr" s="0">
        <is>
          <t xml:space="preserve">Paid invoices</t>
        </is>
      </c>
    </row>
    <row r="6">
      <c r="A6" t="inlineStr" s="0">
        <is>
          <t xml:space="preserve">Hours logged</t>
        </is>
      </c>
      <c r="B6" s="0">
        <v>34</v>
      </c>
      <c r="C6" t="inlineStr" s="0">
        <is>
          <t xml:space="preserve">Time log</t>
        </is>
      </c>
    </row>
    <row r="7">
      <c r="A7" t="inlineStr" s="0">
        <is>
          <t xml:space="preserve">Spend</t>
        </is>
      </c>
      <c r="B7" s="2">
        <v>2870.7</v>
      </c>
      <c r="C7" t="inlineStr" s="0">
        <is>
          <t xml:space="preserve">Receipted expenses</t>
        </is>
      </c>
    </row>
    <row r="8">
      <c r="A8" t="inlineStr" s="0">
        <is>
          <t xml:space="preserve">Revenue per hour</t>
        </is>
      </c>
      <c r="B8" s="2">
        <f>B5/B6</f>
      </c>
      <c r="C8" t="inlineStr" s="0">
        <is>
          <t xml:space="preserve">Target $350</t>
        </is>
      </c>
    </row>
    <row r="9">
      <c r="A9" t="inlineStr" s="0">
        <is>
          <t xml:space="preserve">Gap to target per hour</t>
        </is>
      </c>
      <c r="B9" s="2">
        <f>350-B8</f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40" customWidth="1"/>
    <col min="2" max="2" width="14" customWidth="1"/>
    <col min="3" max="3" width="10" customWidth="1"/>
  </cols>
  <sheetData>
    <row r="1">
      <c r="A1" t="inlineStr" s="4">
        <is>
          <t xml:space="preserve">Service portfolio</t>
        </is>
      </c>
    </row>
    <row r="2">
      <c r="A2" t="inlineStr" s="9">
        <is>
          <t xml:space="preserve">Revenue share by service</t>
        </is>
      </c>
    </row>
    <row r="3"/>
    <row r="4">
      <c r="A4" t="inlineStr" s="1">
        <is>
          <t xml:space="preserve">Service</t>
        </is>
      </c>
      <c r="B4" t="inlineStr" s="1">
        <is>
          <t xml:space="preserve">Revenue</t>
        </is>
      </c>
      <c r="C4" t="inlineStr" s="1">
        <is>
          <t xml:space="preserve">Share</t>
        </is>
      </c>
    </row>
    <row r="5">
      <c r="A5" t="inlineStr" s="0">
        <is>
          <t xml:space="preserve">Inventory Ordering &amp; Cost-Basis System</t>
        </is>
      </c>
      <c r="B5" s="2">
        <v>1500</v>
      </c>
      <c r="C5" s="3">
        <f>B5/SUM(B$5:B$6)</f>
      </c>
    </row>
    <row r="6">
      <c r="A6" t="inlineStr" s="0">
        <is>
          <t xml:space="preserve">Priority 1 — Email Management</t>
        </is>
      </c>
      <c r="B6" s="2">
        <v>1500</v>
      </c>
      <c r="C6" s="3">
        <f>B6/SUM(B$5:B$6)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34" customWidth="1"/>
    <col min="3" max="3" width="14" customWidth="1"/>
    <col min="4" max="4" width="22" customWidth="1"/>
  </cols>
  <sheetData>
    <row r="1">
      <c r="A1" t="inlineStr" s="4">
        <is>
          <t xml:space="preserve">Cost base under contract</t>
        </is>
      </c>
    </row>
    <row r="2">
      <c r="A2" t="inlineStr" s="9">
        <is>
          <t xml:space="preserve">Annual value</t>
        </is>
      </c>
    </row>
    <row r="3"/>
    <row r="4">
      <c r="A4" t="inlineStr" s="1">
        <is>
          <t xml:space="preserve">Vendor</t>
        </is>
      </c>
      <c r="B4" t="inlineStr" s="1">
        <is>
          <t xml:space="preserve">Agreement</t>
        </is>
      </c>
      <c r="C4" t="inlineStr" s="1">
        <is>
          <t xml:space="preserve">Annual</t>
        </is>
      </c>
      <c r="D4" t="inlineStr" s="1">
        <is>
          <t xml:space="preserve">Renewal</t>
        </is>
      </c>
    </row>
    <row r="5">
      <c r="A5" t="inlineStr" s="0">
        <is>
          <t xml:space="preserve">Anthropic</t>
        </is>
      </c>
      <c r="B5" t="inlineStr" s="0">
        <is>
          <t xml:space="preserve">Claude Max subscription</t>
        </is>
      </c>
      <c r="C5" s="2">
        <v>2400</v>
      </c>
      <c r="D5" t="inlineStr" s="0">
        <is>
          <t xml:space="preserve">Auto-renews monthly</t>
        </is>
      </c>
    </row>
    <row r="6">
      <c r="A6" t="inlineStr" s="0">
        <is>
          <t xml:space="preserve">Hiscox</t>
        </is>
      </c>
      <c r="B6" t="inlineStr" s="0">
        <is>
          <t xml:space="preserve">E&amp;O + General Liability</t>
        </is>
      </c>
      <c r="C6" s="2">
        <v>3600</v>
      </c>
      <c r="D6" t="inlineStr" s="0">
        <is>
          <t xml:space="preserve">Auto-renews</t>
        </is>
      </c>
    </row>
    <row r="7">
      <c r="A7" t="inlineStr" s="0">
        <is>
          <t xml:space="preserve">Microsoft</t>
        </is>
      </c>
      <c r="B7" t="inlineStr" s="0">
        <is>
          <t xml:space="preserve">365 Business Standard</t>
        </is>
      </c>
      <c r="C7" s="2">
        <v>312</v>
      </c>
      <c r="D7" t="inlineStr" s="0">
        <is>
          <t xml:space="preserve">Auto-renews</t>
        </is>
      </c>
    </row>
    <row r="8">
      <c r="A8" t="inlineStr" s="0">
        <is>
          <t xml:space="preserve">Intuit</t>
        </is>
      </c>
      <c r="B8" t="inlineStr" s="0">
        <is>
          <t xml:space="preserve">Enterprise 24.0 (owned)</t>
        </is>
      </c>
      <c r="C8" s="2">
        <v>0</v>
      </c>
      <c r="D8" t="inlineStr" s="0">
        <is>
          <t xml:space="preserve">Path A, B or C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Platform</t>
        </is>
      </c>
      <c r="B5" s="3">
        <v>0</v>
      </c>
      <c r="C5" t="inlineStr" s="6">
        <is>
          <t xml:space="preserve">Watch</t>
        </is>
      </c>
      <c r="D5" t="inlineStr" s="0">
        <is>
          <t xml:space="preserve">Improving — act this month</t>
        </is>
      </c>
    </row>
    <row r="6">
      <c r="A6" t="inlineStr" s="0">
        <is>
          <t xml:space="preserve">People, process, product</t>
        </is>
      </c>
      <c r="B6" s="3">
        <v>0.76</v>
      </c>
      <c r="C6" t="inlineStr" s="5">
        <is>
          <t xml:space="preserve">On track</t>
        </is>
      </c>
      <c r="D6" t="inlineStr" s="0">
        <is>
          <t xml:space="preserve">Holding — keep the rhythm</t>
        </is>
      </c>
    </row>
    <row r="7">
      <c r="A7" t="inlineStr" s="0">
        <is>
          <t xml:space="preserve">Cash scoreboard</t>
        </is>
      </c>
      <c r="B7" s="3">
        <v>0.32</v>
      </c>
      <c r="C7" t="inlineStr" s="7">
        <is>
          <t xml:space="preserve">At risk</t>
        </is>
      </c>
      <c r="D7" t="inlineStr" s="0">
        <is>
          <t xml:space="preserve">Binding — act this week</t>
        </is>
      </c>
    </row>
    <row r="8">
      <c r="A8" t="inlineStr" s="0">
        <is>
          <t xml:space="preserve">Software leverage</t>
        </is>
      </c>
      <c r="B8" s="3">
        <v>0.13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  <row r="9">
      <c r="A9" t="inlineStr" s="0">
        <is>
          <t xml:space="preserve">Reusable frameworks</t>
        </is>
      </c>
      <c r="B9" s="3">
        <v>0.2</v>
      </c>
      <c r="C9" t="inlineStr" s="6">
        <is>
          <t xml:space="preserve">Watch</t>
        </is>
      </c>
      <c r="D9" t="inlineStr" s="0">
        <is>
          <t xml:space="preserve">Improving — act this month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Price the retainer so recurring revenue starts</t>
        </is>
      </c>
      <c r="C5" t="inlineStr" s="0">
        <is>
          <t xml:space="preserve">Owner</t>
        </is>
      </c>
      <c r="D5" t="inlineStr" s="0">
        <is>
          <t xml:space="preserve">31 Oct 2026</t>
        </is>
      </c>
      <c r="E5" t="inlineStr" s="0">
        <is>
          <t xml:space="preserve">Platform</t>
        </is>
      </c>
    </row>
    <row r="6">
      <c r="A6" s="0">
        <v>2</v>
      </c>
      <c r="B6" t="inlineStr" s="0">
        <is>
          <t xml:space="preserve">Cut or tag the untagged spending categories</t>
        </is>
      </c>
      <c r="C6" t="inlineStr" s="0">
        <is>
          <t xml:space="preserve">Owner</t>
        </is>
      </c>
      <c r="D6" t="inlineStr" s="0">
        <is>
          <t xml:space="preserve">2 Oct 2026</t>
        </is>
      </c>
      <c r="E6" t="inlineStr" s="0">
        <is>
          <t xml:space="preserve">Cash scoreboard</t>
        </is>
      </c>
    </row>
    <row r="7">
      <c r="A7" s="0">
        <v>3</v>
      </c>
      <c r="B7" t="inlineStr" s="0">
        <is>
          <t xml:space="preserve">Sell each service a second time to prove it</t>
        </is>
      </c>
      <c r="C7" t="inlineStr" s="0">
        <is>
          <t xml:space="preserve">Owner</t>
        </is>
      </c>
      <c r="D7" t="inlineStr" s="0">
        <is>
          <t xml:space="preserve">31 Dec 2026</t>
        </is>
      </c>
      <c r="E7" t="inlineStr" s="0">
        <is>
          <t xml:space="preserve">Reusable frameworks</t>
        </is>
      </c>
    </row>
  </sheetData>
</worksheet>
</file>